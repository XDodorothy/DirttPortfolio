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the\Downloads\"/>
    </mc:Choice>
  </mc:AlternateContent>
  <xr:revisionPtr revIDLastSave="0" documentId="13_ncr:1_{D8A11B58-6A99-43C9-A777-23DA16CD7378}" xr6:coauthVersionLast="47" xr6:coauthVersionMax="47" xr10:uidLastSave="{00000000-0000-0000-0000-000000000000}"/>
  <bookViews>
    <workbookView xWindow="848" yWindow="-98" windowWidth="18450" windowHeight="10996" xr2:uid="{00000000-000D-0000-FFFF-FFFF00000000}"/>
  </bookViews>
  <sheets>
    <sheet name="Sheet1" sheetId="1" r:id="rId1"/>
    <sheet name="Data" sheetId="4" r:id="rId2"/>
    <sheet name="Coûts  With QC facility" sheetId="3" r:id="rId3"/>
  </sheets>
  <externalReferences>
    <externalReference r:id="rId4"/>
  </externalReferences>
  <definedNames>
    <definedName name="Type">Data!$B$3:$B$5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E14" i="1"/>
  <c r="F14" i="1"/>
  <c r="C23" i="3"/>
  <c r="C19" i="3"/>
  <c r="C20" i="3" s="1"/>
  <c r="K15" i="3"/>
  <c r="C11" i="3"/>
  <c r="E11" i="3" s="1"/>
  <c r="C6" i="3"/>
  <c r="F6" i="3" s="1"/>
  <c r="G6" i="3" s="1"/>
  <c r="C5" i="3"/>
  <c r="F5" i="3" s="1"/>
  <c r="G5" i="3" s="1"/>
  <c r="C4" i="3"/>
  <c r="F4" i="3" s="1"/>
  <c r="H16" i="3" l="1"/>
  <c r="C9" i="3"/>
  <c r="C13" i="3" s="1"/>
  <c r="C14" i="3" s="1"/>
  <c r="F9" i="3"/>
  <c r="G4" i="3"/>
  <c r="G9" i="3" s="1"/>
  <c r="G10" i="3" s="1"/>
  <c r="G18" i="3"/>
  <c r="G19" i="3" s="1"/>
  <c r="C16" i="3" l="1"/>
  <c r="C15" i="3"/>
  <c r="D14" i="3"/>
  <c r="G16" i="3" s="1"/>
  <c r="I16" i="3" s="1"/>
  <c r="H21" i="3"/>
  <c r="H22" i="3"/>
  <c r="D7" i="1"/>
  <c r="G4" i="1" l="1"/>
  <c r="D6" i="1"/>
  <c r="G21" i="3"/>
  <c r="G22" i="3"/>
  <c r="D9" i="1" l="1"/>
  <c r="G8" i="1" s="1"/>
  <c r="D3" i="1" l="1"/>
  <c r="G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Dorothée, THERRIEN</author>
  </authors>
  <commentList>
    <comment ref="C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Dorothée, THERRIEN:</t>
        </r>
        <r>
          <rPr>
            <sz val="9"/>
            <color indexed="81"/>
            <rFont val="Tahoma"/>
            <family val="2"/>
          </rPr>
          <t xml:space="preserve">
Assumé d'un envoi par 3 semaines, mais cela risque de varier</t>
        </r>
      </text>
    </comment>
    <comment ref="D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Dorothée, THERRIEN:</t>
        </r>
        <r>
          <rPr>
            <sz val="9"/>
            <color indexed="81"/>
            <rFont val="Tahoma"/>
            <family val="2"/>
          </rPr>
          <t xml:space="preserve">
Estimé par Terracycle
le coût se situe entre 645$ et 690$ pou renvoyer au Québec</t>
        </r>
      </text>
    </comment>
  </commentList>
</comments>
</file>

<file path=xl/sharedStrings.xml><?xml version="1.0" encoding="utf-8"?>
<sst xmlns="http://schemas.openxmlformats.org/spreadsheetml/2006/main" count="98" uniqueCount="72">
  <si>
    <t>Kg</t>
  </si>
  <si>
    <t>sacs</t>
  </si>
  <si>
    <t>LBS</t>
  </si>
  <si>
    <t>Coûts pour 46 semaines de production</t>
  </si>
  <si>
    <t xml:space="preserve">Rouleaux d'étiquettes </t>
  </si>
  <si>
    <t>LBS/semaine</t>
  </si>
  <si>
    <t>EPI</t>
  </si>
  <si>
    <t xml:space="preserve">Coût/LBS </t>
  </si>
  <si>
    <t>Total Coût par an</t>
  </si>
  <si>
    <t>Total coût par semaine</t>
  </si>
  <si>
    <t>Nombres de semaines de production</t>
  </si>
  <si>
    <t>Transportation</t>
  </si>
  <si>
    <t>Nombres d'envois</t>
  </si>
  <si>
    <t>Coût/envoi</t>
  </si>
  <si>
    <t>Coût/an TOTAL</t>
  </si>
  <si>
    <t>Total</t>
  </si>
  <si>
    <t>Tonnage par semaine</t>
  </si>
  <si>
    <t>Coût par tonnage EBI</t>
  </si>
  <si>
    <t>Tonnage par année</t>
  </si>
  <si>
    <t>% du total des déchets (2019)</t>
  </si>
  <si>
    <t>Coût par tonnage Terracycle</t>
  </si>
  <si>
    <t>YTD ESG solid waste to landfill</t>
  </si>
  <si>
    <t>11.48 Kg/ton</t>
  </si>
  <si>
    <t>ESG with project</t>
  </si>
  <si>
    <t>decrease ESG Kg/Ton</t>
  </si>
  <si>
    <t>Terracycle</t>
  </si>
  <si>
    <t>EBI (Covanta)</t>
  </si>
  <si>
    <t>Coût par année (Rouleaux + Cups)</t>
  </si>
  <si>
    <t>Coût donné par EBI pour incinération</t>
  </si>
  <si>
    <t>$/mt</t>
  </si>
  <si>
    <t>MT</t>
  </si>
  <si>
    <t>$/LBS</t>
  </si>
  <si>
    <t>Ratio</t>
  </si>
  <si>
    <t>Tonnage (rouleaux + Cups)</t>
  </si>
  <si>
    <t>Coût actuel</t>
  </si>
  <si>
    <t>Différence des coûts</t>
  </si>
  <si>
    <t>EBI</t>
  </si>
  <si>
    <t>Augmentation</t>
  </si>
  <si>
    <t xml:space="preserve">Kg </t>
  </si>
  <si>
    <t>Cups vident Tassimo</t>
  </si>
  <si>
    <t>Coût pour envoie pour entreposage chez EBI</t>
  </si>
  <si>
    <t>Terracycle (Québec)</t>
  </si>
  <si>
    <t>Single Slices of Kraft Film</t>
  </si>
  <si>
    <t>Tassimo Multilayer Aluminum Wrap</t>
  </si>
  <si>
    <t>ITEM #</t>
  </si>
  <si>
    <t>QTY OF PALLETS</t>
  </si>
  <si>
    <t>DESCRIPTION</t>
  </si>
  <si>
    <t>Poids</t>
  </si>
  <si>
    <t>Boîtes de carton des Pods de café - PLEINE</t>
  </si>
  <si>
    <t>Boîtes de carton des Pods de café - VIDE</t>
  </si>
  <si>
    <t>Boîte de carton de BM - VIDE</t>
  </si>
  <si>
    <t>Boîte de carton de BM avec EPI - PLEINE</t>
  </si>
  <si>
    <t>Nombre de sacs par boîte de carton</t>
  </si>
  <si>
    <t>Boîte de rouleaux d'étiquette - PLEINE</t>
  </si>
  <si>
    <t>Boîte de beurre fondu - VIDE</t>
  </si>
  <si>
    <t>1 sac transparent de EPI - PLEIN</t>
  </si>
  <si>
    <t>SHIPPER</t>
  </si>
  <si>
    <t>ARE PALLETS STACKABLE?</t>
  </si>
  <si>
    <t>(Y OR N)</t>
  </si>
  <si>
    <t>TOTAL NET WEIGHT (LBS)</t>
  </si>
  <si>
    <t>TOTAL GROSS WEIGHT (LBS)</t>
  </si>
  <si>
    <t>WOUILD YOU LIKE TERRACYCLE TO PROVIDE BOL?</t>
  </si>
  <si>
    <t>Y</t>
  </si>
  <si>
    <t>Pods de café</t>
  </si>
  <si>
    <t>Production par semaine</t>
  </si>
  <si>
    <t>Boîtes</t>
  </si>
  <si>
    <t>Rouleaux d'étiquettes</t>
  </si>
  <si>
    <t>Type d'item</t>
  </si>
  <si>
    <t>NET WEIGHT (LBS)</t>
  </si>
  <si>
    <t>GROSS WEIGHT (LBS)</t>
  </si>
  <si>
    <t>N</t>
  </si>
  <si>
    <t>Kraft Heinz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</si>
</sst>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1"/>
      <name val="Tahoma"/>
      <family val="2"/>
    </font>
    <font>
      <sz val="11"/>
      <color rgb="FF1F497D"/>
      <name val="Calibri"/>
      <family val="2"/>
    </font>
    <font>
      <sz val="18"/>
      <color indexed="57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5BD4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A6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wrapText="1"/>
    </xf>
    <xf numFmtId="1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7" xfId="0" applyBorder="1" applyAlignment="1">
      <alignment wrapText="1"/>
    </xf>
    <xf numFmtId="0" fontId="0" fillId="0" borderId="8" xfId="0" applyBorder="1"/>
    <xf numFmtId="0" fontId="0" fillId="0" borderId="9" xfId="0" applyBorder="1"/>
    <xf numFmtId="0" fontId="0" fillId="0" borderId="0" xfId="0" applyFill="1" applyBorder="1" applyAlignment="1">
      <alignment wrapText="1"/>
    </xf>
    <xf numFmtId="1" fontId="0" fillId="3" borderId="1" xfId="0" applyNumberFormat="1" applyFill="1" applyBorder="1" applyAlignment="1">
      <alignment wrapText="1"/>
    </xf>
    <xf numFmtId="0" fontId="0" fillId="3" borderId="5" xfId="0" applyFill="1" applyBorder="1" applyAlignment="1">
      <alignment wrapText="1"/>
    </xf>
    <xf numFmtId="0" fontId="0" fillId="3" borderId="6" xfId="0" applyFill="1" applyBorder="1" applyAlignment="1">
      <alignment wrapText="1"/>
    </xf>
    <xf numFmtId="0" fontId="0" fillId="3" borderId="7" xfId="0" applyFill="1" applyBorder="1" applyAlignment="1">
      <alignment wrapText="1"/>
    </xf>
    <xf numFmtId="1" fontId="0" fillId="3" borderId="8" xfId="0" applyNumberFormat="1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4" borderId="18" xfId="0" applyFill="1" applyBorder="1" applyAlignment="1">
      <alignment wrapText="1"/>
    </xf>
    <xf numFmtId="0" fontId="0" fillId="4" borderId="19" xfId="0" applyFill="1" applyBorder="1" applyAlignment="1">
      <alignment wrapText="1"/>
    </xf>
    <xf numFmtId="0" fontId="0" fillId="4" borderId="20" xfId="0" applyFill="1" applyBorder="1" applyAlignment="1">
      <alignment wrapText="1"/>
    </xf>
    <xf numFmtId="44" fontId="0" fillId="3" borderId="16" xfId="1" applyFont="1" applyFill="1" applyBorder="1" applyAlignment="1">
      <alignment wrapText="1"/>
    </xf>
    <xf numFmtId="44" fontId="0" fillId="3" borderId="17" xfId="1" applyFont="1" applyFill="1" applyBorder="1" applyAlignment="1">
      <alignment wrapText="1"/>
    </xf>
    <xf numFmtId="44" fontId="0" fillId="3" borderId="1" xfId="1" applyFont="1" applyFill="1" applyBorder="1" applyAlignment="1">
      <alignment wrapText="1"/>
    </xf>
    <xf numFmtId="44" fontId="0" fillId="3" borderId="8" xfId="1" applyFont="1" applyFill="1" applyBorder="1" applyAlignment="1">
      <alignment wrapText="1"/>
    </xf>
    <xf numFmtId="44" fontId="0" fillId="3" borderId="15" xfId="1" applyFont="1" applyFill="1" applyBorder="1" applyAlignment="1">
      <alignment wrapText="1"/>
    </xf>
    <xf numFmtId="44" fontId="0" fillId="3" borderId="5" xfId="1" applyFont="1" applyFill="1" applyBorder="1" applyAlignment="1">
      <alignment wrapText="1"/>
    </xf>
    <xf numFmtId="44" fontId="0" fillId="3" borderId="7" xfId="1" applyFont="1" applyFill="1" applyBorder="1" applyAlignment="1">
      <alignment wrapText="1"/>
    </xf>
    <xf numFmtId="0" fontId="0" fillId="4" borderId="22" xfId="0" applyFill="1" applyBorder="1" applyAlignment="1">
      <alignment wrapText="1"/>
    </xf>
    <xf numFmtId="0" fontId="0" fillId="6" borderId="18" xfId="0" applyFill="1" applyBorder="1" applyAlignment="1">
      <alignment wrapText="1"/>
    </xf>
    <xf numFmtId="1" fontId="0" fillId="6" borderId="19" xfId="0" applyNumberFormat="1" applyFill="1" applyBorder="1" applyAlignment="1">
      <alignment wrapText="1"/>
    </xf>
    <xf numFmtId="44" fontId="0" fillId="6" borderId="19" xfId="1" applyFont="1" applyFill="1" applyBorder="1" applyAlignment="1">
      <alignment wrapText="1"/>
    </xf>
    <xf numFmtId="0" fontId="0" fillId="7" borderId="25" xfId="0" applyFill="1" applyBorder="1" applyAlignment="1">
      <alignment wrapText="1"/>
    </xf>
    <xf numFmtId="44" fontId="0" fillId="4" borderId="23" xfId="1" applyFont="1" applyFill="1" applyBorder="1" applyAlignment="1">
      <alignment wrapText="1"/>
    </xf>
    <xf numFmtId="0" fontId="6" fillId="8" borderId="18" xfId="0" applyFont="1" applyFill="1" applyBorder="1" applyAlignment="1">
      <alignment wrapText="1"/>
    </xf>
    <xf numFmtId="44" fontId="6" fillId="8" borderId="20" xfId="0" applyNumberFormat="1" applyFont="1" applyFill="1" applyBorder="1" applyAlignment="1">
      <alignment wrapText="1"/>
    </xf>
    <xf numFmtId="44" fontId="1" fillId="4" borderId="24" xfId="1" applyFont="1" applyFill="1" applyBorder="1" applyAlignment="1">
      <alignment wrapText="1"/>
    </xf>
    <xf numFmtId="44" fontId="1" fillId="6" borderId="20" xfId="0" applyNumberFormat="1" applyFont="1" applyFill="1" applyBorder="1" applyAlignment="1">
      <alignment wrapText="1"/>
    </xf>
    <xf numFmtId="0" fontId="0" fillId="5" borderId="18" xfId="0" applyFill="1" applyBorder="1" applyAlignment="1">
      <alignment wrapText="1"/>
    </xf>
    <xf numFmtId="2" fontId="0" fillId="0" borderId="0" xfId="0" applyNumberFormat="1" applyAlignment="1">
      <alignment wrapText="1"/>
    </xf>
    <xf numFmtId="0" fontId="0" fillId="3" borderId="10" xfId="0" applyFill="1" applyBorder="1" applyAlignment="1">
      <alignment wrapText="1"/>
    </xf>
    <xf numFmtId="1" fontId="0" fillId="3" borderId="11" xfId="0" applyNumberFormat="1" applyFill="1" applyBorder="1" applyAlignment="1">
      <alignment wrapText="1"/>
    </xf>
    <xf numFmtId="0" fontId="0" fillId="7" borderId="26" xfId="0" applyFill="1" applyBorder="1" applyAlignment="1">
      <alignment wrapText="1"/>
    </xf>
    <xf numFmtId="0" fontId="0" fillId="7" borderId="27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3" borderId="4" xfId="0" applyFill="1" applyBorder="1" applyAlignment="1">
      <alignment wrapText="1"/>
    </xf>
    <xf numFmtId="10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44" fontId="0" fillId="0" borderId="0" xfId="0" applyNumberFormat="1" applyAlignment="1">
      <alignment wrapText="1"/>
    </xf>
    <xf numFmtId="44" fontId="0" fillId="0" borderId="0" xfId="1" applyFont="1" applyAlignment="1">
      <alignment wrapText="1"/>
    </xf>
    <xf numFmtId="0" fontId="0" fillId="9" borderId="0" xfId="0" applyFill="1" applyAlignment="1">
      <alignment wrapText="1"/>
    </xf>
    <xf numFmtId="44" fontId="0" fillId="9" borderId="0" xfId="0" applyNumberFormat="1" applyFill="1" applyAlignment="1">
      <alignment wrapText="1"/>
    </xf>
    <xf numFmtId="44" fontId="0" fillId="6" borderId="29" xfId="0" applyNumberFormat="1" applyFill="1" applyBorder="1" applyAlignment="1">
      <alignment wrapText="1"/>
    </xf>
    <xf numFmtId="0" fontId="0" fillId="6" borderId="28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9" fontId="0" fillId="0" borderId="0" xfId="2" applyFont="1" applyAlignment="1">
      <alignment wrapText="1"/>
    </xf>
    <xf numFmtId="44" fontId="0" fillId="5" borderId="30" xfId="0" applyNumberFormat="1" applyFill="1" applyBorder="1" applyAlignment="1">
      <alignment wrapText="1"/>
    </xf>
    <xf numFmtId="165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44" fontId="0" fillId="3" borderId="26" xfId="1" applyFont="1" applyFill="1" applyBorder="1" applyAlignment="1">
      <alignment wrapText="1"/>
    </xf>
    <xf numFmtId="44" fontId="0" fillId="3" borderId="27" xfId="1" applyFont="1" applyFill="1" applyBorder="1" applyAlignment="1">
      <alignment wrapText="1"/>
    </xf>
    <xf numFmtId="44" fontId="0" fillId="3" borderId="31" xfId="1" applyFont="1" applyFill="1" applyBorder="1" applyAlignment="1">
      <alignment wrapText="1"/>
    </xf>
    <xf numFmtId="0" fontId="7" fillId="0" borderId="32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5" xfId="0" applyFont="1" applyBorder="1" applyAlignment="1">
      <alignment vertical="center" wrapText="1"/>
    </xf>
    <xf numFmtId="0" fontId="0" fillId="0" borderId="0" xfId="0" applyFill="1" applyBorder="1"/>
    <xf numFmtId="0" fontId="1" fillId="0" borderId="0" xfId="0" applyFont="1" applyFill="1" applyBorder="1" applyAlignment="1">
      <alignment wrapText="1"/>
    </xf>
    <xf numFmtId="1" fontId="0" fillId="0" borderId="0" xfId="0" applyNumberFormat="1" applyFill="1" applyBorder="1"/>
    <xf numFmtId="1" fontId="2" fillId="0" borderId="0" xfId="0" applyNumberFormat="1" applyFont="1" applyFill="1" applyBorder="1"/>
    <xf numFmtId="0" fontId="7" fillId="0" borderId="37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1" fontId="0" fillId="0" borderId="8" xfId="0" applyNumberFormat="1" applyBorder="1"/>
    <xf numFmtId="1" fontId="8" fillId="0" borderId="35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0" fillId="2" borderId="12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0" fillId="2" borderId="14" xfId="0" applyFill="1" applyBorder="1" applyAlignment="1">
      <alignment horizont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FFDA65"/>
      <color rgb="FF5BD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185738</xdr:colOff>
          <xdr:row>1</xdr:row>
          <xdr:rowOff>19050</xdr:rowOff>
        </xdr:from>
        <xdr:to>
          <xdr:col>1</xdr:col>
          <xdr:colOff>1119188</xdr:colOff>
          <xdr:row>9</xdr:row>
          <xdr:rowOff>114299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Commencer une estimation pour l'envoie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KEMS\00%20Management\06%20General\STATISTIQUES\2018-2020-2021%20Waste%20management%20Summa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7 Actuals"/>
      <sheetName val="2018 Actuals"/>
      <sheetName val="2019 Actual"/>
      <sheetName val="2020 Actual"/>
      <sheetName val="2021 Actual"/>
      <sheetName val="YTD Kg-Ton"/>
      <sheetName val="ESG 2021"/>
      <sheetName val="Permeat data"/>
      <sheetName val="WM 2019-201"/>
      <sheetName val="YTD in % of total waste"/>
      <sheetName val="Price by category by month"/>
      <sheetName val="Lift"/>
      <sheetName val="Landfill 2014-2020"/>
      <sheetName val="Category descriptions"/>
      <sheetName val="size of prize"/>
      <sheetName val="Donations"/>
      <sheetName val="2011 characterization"/>
    </sheetNames>
    <sheetDataSet>
      <sheetData sheetId="0"/>
      <sheetData sheetId="1"/>
      <sheetData sheetId="2">
        <row r="7">
          <cell r="AI7">
            <v>2992.6610000000001</v>
          </cell>
        </row>
      </sheetData>
      <sheetData sheetId="3">
        <row r="51">
          <cell r="C51">
            <v>111.46900384512153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V34"/>
  <sheetViews>
    <sheetView tabSelected="1" workbookViewId="0">
      <selection activeCell="C3" sqref="C3"/>
    </sheetView>
  </sheetViews>
  <sheetFormatPr baseColWidth="10" defaultColWidth="9.06640625" defaultRowHeight="14.25" x14ac:dyDescent="0.45"/>
  <cols>
    <col min="2" max="2" width="16.59765625" customWidth="1"/>
    <col min="3" max="3" width="34.9296875" customWidth="1"/>
    <col min="4" max="4" width="15.86328125" customWidth="1"/>
    <col min="5" max="5" width="19.6640625" customWidth="1"/>
    <col min="6" max="6" width="32.86328125" customWidth="1"/>
    <col min="7" max="7" width="11.06640625" customWidth="1"/>
    <col min="8" max="8" width="9.59765625" bestFit="1" customWidth="1"/>
    <col min="9" max="9" width="11.1328125" bestFit="1" customWidth="1"/>
    <col min="10" max="10" width="12.86328125" style="1" customWidth="1"/>
    <col min="11" max="11" width="9.19921875" bestFit="1" customWidth="1"/>
  </cols>
  <sheetData>
    <row r="1" spans="2:22" ht="14.65" thickBot="1" x14ac:dyDescent="0.5"/>
    <row r="2" spans="2:22" ht="14.65" thickBot="1" x14ac:dyDescent="0.5">
      <c r="C2" s="59" t="s">
        <v>47</v>
      </c>
      <c r="F2" s="77" t="s">
        <v>64</v>
      </c>
      <c r="G2" s="78"/>
      <c r="H2" s="79"/>
      <c r="Q2">
        <v>1</v>
      </c>
    </row>
    <row r="3" spans="2:22" x14ac:dyDescent="0.45">
      <c r="C3" s="1" t="s">
        <v>49</v>
      </c>
      <c r="D3">
        <f>10</f>
        <v>10</v>
      </c>
      <c r="E3" t="s">
        <v>0</v>
      </c>
      <c r="F3" s="74" t="s">
        <v>6</v>
      </c>
      <c r="G3" s="3">
        <v>2.5</v>
      </c>
      <c r="H3" s="4" t="s">
        <v>1</v>
      </c>
      <c r="N3" s="59"/>
      <c r="O3" s="59"/>
      <c r="P3" s="59"/>
      <c r="Q3" s="59"/>
      <c r="R3" s="59"/>
    </row>
    <row r="4" spans="2:22" ht="14.65" thickBot="1" x14ac:dyDescent="0.5">
      <c r="C4" s="1" t="s">
        <v>48</v>
      </c>
      <c r="D4">
        <v>201</v>
      </c>
      <c r="E4" t="s">
        <v>0</v>
      </c>
      <c r="F4" s="5"/>
      <c r="G4" s="75">
        <f>G3*D7</f>
        <v>20.454545454545453</v>
      </c>
      <c r="H4" s="7" t="s">
        <v>0</v>
      </c>
      <c r="N4" s="59"/>
      <c r="O4" s="59"/>
      <c r="P4" s="59"/>
      <c r="Q4" s="59"/>
      <c r="R4" s="59"/>
    </row>
    <row r="5" spans="2:22" x14ac:dyDescent="0.45">
      <c r="C5" t="s">
        <v>50</v>
      </c>
      <c r="D5">
        <v>12</v>
      </c>
      <c r="E5" t="s">
        <v>0</v>
      </c>
      <c r="F5" s="74" t="s">
        <v>63</v>
      </c>
      <c r="G5" s="3">
        <v>2</v>
      </c>
      <c r="H5" s="4" t="s">
        <v>65</v>
      </c>
      <c r="N5" s="59"/>
      <c r="O5" s="59"/>
      <c r="P5" s="59"/>
      <c r="Q5" s="59"/>
      <c r="R5" s="59"/>
    </row>
    <row r="6" spans="2:22" ht="14.65" thickBot="1" x14ac:dyDescent="0.5">
      <c r="C6" t="s">
        <v>51</v>
      </c>
      <c r="D6" s="2">
        <f>D10*D7</f>
        <v>130.90909090909091</v>
      </c>
      <c r="E6" t="s">
        <v>0</v>
      </c>
      <c r="F6" s="5"/>
      <c r="G6" s="6">
        <f>G5*D4-(G5*D3)</f>
        <v>382</v>
      </c>
      <c r="H6" s="7" t="s">
        <v>0</v>
      </c>
      <c r="N6" s="59"/>
      <c r="O6" s="59"/>
      <c r="P6" s="59"/>
      <c r="Q6" s="59" t="s">
        <v>6</v>
      </c>
      <c r="R6" s="59" t="s">
        <v>6</v>
      </c>
      <c r="S6" t="s">
        <v>6</v>
      </c>
      <c r="T6" t="s">
        <v>6</v>
      </c>
      <c r="U6" t="s">
        <v>6</v>
      </c>
      <c r="V6" t="s">
        <v>6</v>
      </c>
    </row>
    <row r="7" spans="2:22" x14ac:dyDescent="0.45">
      <c r="C7" t="s">
        <v>55</v>
      </c>
      <c r="D7" s="57">
        <f>18/2.2</f>
        <v>8.1818181818181817</v>
      </c>
      <c r="E7" t="s">
        <v>38</v>
      </c>
      <c r="F7" s="74" t="s">
        <v>66</v>
      </c>
      <c r="G7" s="3">
        <v>2</v>
      </c>
      <c r="H7" s="4" t="s">
        <v>65</v>
      </c>
    </row>
    <row r="8" spans="2:22" ht="14.65" thickBot="1" x14ac:dyDescent="0.5">
      <c r="C8" t="s">
        <v>54</v>
      </c>
      <c r="D8" s="57">
        <v>20</v>
      </c>
      <c r="E8" t="s">
        <v>0</v>
      </c>
      <c r="F8" s="5"/>
      <c r="G8" s="75">
        <f>(G7*D9)-G7*D8</f>
        <v>1293.3333333333333</v>
      </c>
      <c r="H8" s="7" t="s">
        <v>0</v>
      </c>
    </row>
    <row r="9" spans="2:22" x14ac:dyDescent="0.45">
      <c r="C9" s="1" t="s">
        <v>53</v>
      </c>
      <c r="D9" s="2">
        <f>(2000/3)</f>
        <v>666.66666666666663</v>
      </c>
      <c r="E9" t="s">
        <v>0</v>
      </c>
    </row>
    <row r="10" spans="2:22" x14ac:dyDescent="0.45">
      <c r="C10" s="58" t="s">
        <v>52</v>
      </c>
      <c r="D10" s="59">
        <v>16</v>
      </c>
      <c r="E10" s="59" t="s">
        <v>1</v>
      </c>
      <c r="G10" s="1"/>
      <c r="H10" s="2"/>
    </row>
    <row r="11" spans="2:22" ht="14.65" thickBot="1" x14ac:dyDescent="0.5"/>
    <row r="12" spans="2:22" ht="43.9" customHeight="1" thickTop="1" x14ac:dyDescent="0.45">
      <c r="B12" s="80" t="s">
        <v>56</v>
      </c>
      <c r="C12" s="80" t="s">
        <v>45</v>
      </c>
      <c r="D12" s="72" t="s">
        <v>57</v>
      </c>
      <c r="E12" s="80" t="s">
        <v>59</v>
      </c>
      <c r="F12" s="80" t="s">
        <v>60</v>
      </c>
      <c r="G12" s="80" t="s">
        <v>61</v>
      </c>
    </row>
    <row r="13" spans="2:22" ht="14.65" thickBot="1" x14ac:dyDescent="0.5">
      <c r="B13" s="81"/>
      <c r="C13" s="81"/>
      <c r="D13" s="73" t="s">
        <v>58</v>
      </c>
      <c r="E13" s="81"/>
      <c r="F13" s="81"/>
      <c r="G13" s="81"/>
    </row>
    <row r="14" spans="2:22" ht="14.65" thickBot="1" x14ac:dyDescent="0.5">
      <c r="B14" s="65" t="s">
        <v>71</v>
      </c>
      <c r="C14" s="66">
        <f>SUM(C17:C21)</f>
        <v>0</v>
      </c>
      <c r="D14" s="66" t="s">
        <v>62</v>
      </c>
      <c r="E14" s="76">
        <f>SUM(D17:D21)</f>
        <v>0</v>
      </c>
      <c r="F14" s="76">
        <f>SUM(E17:E21)</f>
        <v>0</v>
      </c>
      <c r="G14" s="66" t="s">
        <v>70</v>
      </c>
      <c r="H14" s="68"/>
      <c r="I14" s="68"/>
      <c r="J14" s="8"/>
    </row>
    <row r="15" spans="2:22" ht="14.65" thickBot="1" x14ac:dyDescent="0.5">
      <c r="B15" s="68"/>
      <c r="C15" s="8"/>
      <c r="D15" s="70"/>
      <c r="E15" s="68"/>
      <c r="F15" s="68"/>
      <c r="G15" s="70"/>
      <c r="H15" s="68"/>
      <c r="I15" s="68"/>
      <c r="J15" s="8"/>
    </row>
    <row r="16" spans="2:22" ht="15" thickTop="1" thickBot="1" x14ac:dyDescent="0.5">
      <c r="B16" s="63" t="s">
        <v>44</v>
      </c>
      <c r="C16" s="64" t="s">
        <v>45</v>
      </c>
      <c r="D16" s="64" t="s">
        <v>68</v>
      </c>
      <c r="E16" s="64" t="s">
        <v>69</v>
      </c>
      <c r="F16" s="64" t="s">
        <v>46</v>
      </c>
      <c r="G16" s="70"/>
      <c r="H16" s="68"/>
      <c r="I16" s="68"/>
      <c r="J16" s="8"/>
    </row>
    <row r="17" spans="2:10" ht="14.65" thickBot="1" x14ac:dyDescent="0.5">
      <c r="B17" s="65"/>
      <c r="C17" s="66"/>
      <c r="D17" s="76"/>
      <c r="E17" s="76"/>
      <c r="F17" s="67"/>
      <c r="G17" s="70"/>
      <c r="H17" s="68"/>
      <c r="I17" s="68"/>
      <c r="J17" s="8"/>
    </row>
    <row r="18" spans="2:10" ht="14.65" thickBot="1" x14ac:dyDescent="0.5">
      <c r="B18" s="65"/>
      <c r="C18" s="66"/>
      <c r="D18" s="76"/>
      <c r="E18" s="76"/>
      <c r="F18" s="67"/>
      <c r="G18" s="71"/>
      <c r="H18" s="68"/>
      <c r="I18" s="68"/>
      <c r="J18" s="8"/>
    </row>
    <row r="19" spans="2:10" ht="14.65" thickBot="1" x14ac:dyDescent="0.5">
      <c r="B19" s="65"/>
      <c r="C19" s="66"/>
      <c r="D19" s="76"/>
      <c r="E19" s="76"/>
      <c r="F19" s="67"/>
      <c r="G19" s="68"/>
      <c r="H19" s="68"/>
      <c r="I19" s="68"/>
      <c r="J19" s="8"/>
    </row>
    <row r="20" spans="2:10" ht="14.65" thickBot="1" x14ac:dyDescent="0.5">
      <c r="B20" s="65"/>
      <c r="C20" s="66"/>
      <c r="D20" s="76"/>
      <c r="E20" s="76"/>
      <c r="F20" s="67"/>
      <c r="G20" s="68"/>
      <c r="H20" s="68"/>
      <c r="I20" s="68"/>
      <c r="J20" s="8"/>
    </row>
    <row r="21" spans="2:10" ht="14.65" thickBot="1" x14ac:dyDescent="0.5">
      <c r="B21" s="65"/>
      <c r="C21" s="66"/>
      <c r="D21" s="76"/>
      <c r="E21" s="76"/>
      <c r="F21" s="67"/>
      <c r="G21" s="68"/>
      <c r="H21" s="68"/>
      <c r="I21" s="68"/>
      <c r="J21" s="8"/>
    </row>
    <row r="22" spans="2:10" x14ac:dyDescent="0.45">
      <c r="B22" s="68"/>
      <c r="C22" s="68"/>
      <c r="D22" s="68"/>
      <c r="E22" s="68"/>
      <c r="F22" s="68"/>
      <c r="G22" s="68"/>
      <c r="H22" s="68"/>
      <c r="I22" s="68"/>
      <c r="J22" s="8"/>
    </row>
    <row r="23" spans="2:10" x14ac:dyDescent="0.45">
      <c r="B23" s="68"/>
      <c r="C23" s="68"/>
      <c r="D23" s="68"/>
      <c r="E23" s="68"/>
      <c r="F23" s="68"/>
      <c r="G23" s="68"/>
      <c r="H23" s="68"/>
      <c r="I23" s="68"/>
      <c r="J23" s="8"/>
    </row>
    <row r="24" spans="2:10" x14ac:dyDescent="0.45">
      <c r="B24" s="68"/>
      <c r="C24" s="69"/>
      <c r="D24" s="68"/>
      <c r="E24" s="68"/>
      <c r="F24" s="68"/>
      <c r="G24" s="68"/>
      <c r="H24" s="68"/>
      <c r="I24" s="68"/>
      <c r="J24" s="8"/>
    </row>
    <row r="25" spans="2:10" x14ac:dyDescent="0.45">
      <c r="B25" s="68"/>
      <c r="C25" s="8"/>
      <c r="D25" s="68"/>
      <c r="E25" s="68"/>
      <c r="F25" s="68"/>
      <c r="G25" s="68"/>
      <c r="H25" s="68"/>
      <c r="I25" s="68"/>
      <c r="J25" s="8"/>
    </row>
    <row r="26" spans="2:10" x14ac:dyDescent="0.45">
      <c r="B26" s="68"/>
      <c r="C26" s="8"/>
      <c r="D26" s="68"/>
      <c r="E26" s="68"/>
      <c r="F26" s="68"/>
      <c r="G26" s="68"/>
      <c r="H26" s="68"/>
      <c r="I26" s="68"/>
      <c r="J26" s="8"/>
    </row>
    <row r="27" spans="2:10" x14ac:dyDescent="0.45">
      <c r="B27" s="68"/>
      <c r="C27" s="8"/>
      <c r="D27" s="68"/>
      <c r="E27" s="68"/>
      <c r="F27" s="68"/>
      <c r="G27" s="68"/>
      <c r="H27" s="68"/>
      <c r="I27" s="68"/>
      <c r="J27" s="8"/>
    </row>
    <row r="28" spans="2:10" x14ac:dyDescent="0.45">
      <c r="B28" s="68"/>
      <c r="C28" s="8"/>
      <c r="D28" s="68"/>
      <c r="E28" s="68"/>
      <c r="F28" s="68"/>
      <c r="G28" s="68"/>
      <c r="H28" s="68"/>
      <c r="I28" s="68"/>
      <c r="J28" s="8"/>
    </row>
    <row r="29" spans="2:10" x14ac:dyDescent="0.45">
      <c r="B29" s="68"/>
      <c r="C29" s="69"/>
      <c r="D29" s="68"/>
      <c r="E29" s="68"/>
      <c r="F29" s="68"/>
      <c r="G29" s="68"/>
      <c r="H29" s="68"/>
      <c r="I29" s="68"/>
      <c r="J29" s="8"/>
    </row>
    <row r="30" spans="2:10" x14ac:dyDescent="0.45">
      <c r="B30" s="68"/>
      <c r="C30" s="8"/>
      <c r="D30" s="68"/>
      <c r="E30" s="68"/>
      <c r="F30" s="68"/>
      <c r="G30" s="68"/>
      <c r="H30" s="68"/>
      <c r="I30" s="68"/>
      <c r="J30" s="8"/>
    </row>
    <row r="31" spans="2:10" x14ac:dyDescent="0.45">
      <c r="B31" s="68"/>
      <c r="C31" s="8"/>
      <c r="D31" s="68"/>
      <c r="E31" s="68"/>
      <c r="F31" s="68"/>
      <c r="G31" s="68"/>
      <c r="H31" s="68"/>
      <c r="I31" s="68"/>
      <c r="J31" s="8"/>
    </row>
    <row r="32" spans="2:10" x14ac:dyDescent="0.45">
      <c r="B32" s="68"/>
      <c r="C32" s="8"/>
      <c r="D32" s="68"/>
      <c r="E32" s="68"/>
      <c r="F32" s="68"/>
      <c r="G32" s="68"/>
      <c r="H32" s="68"/>
      <c r="I32" s="68"/>
      <c r="J32" s="8"/>
    </row>
    <row r="33" spans="2:10" x14ac:dyDescent="0.45">
      <c r="B33" s="68"/>
      <c r="C33" s="8"/>
      <c r="D33" s="68"/>
      <c r="E33" s="68"/>
      <c r="F33" s="68"/>
      <c r="G33" s="68"/>
      <c r="H33" s="68"/>
      <c r="I33" s="68"/>
      <c r="J33" s="8"/>
    </row>
    <row r="34" spans="2:10" x14ac:dyDescent="0.45">
      <c r="B34" s="68"/>
      <c r="C34" s="68"/>
      <c r="D34" s="68"/>
      <c r="E34" s="68"/>
      <c r="F34" s="68"/>
      <c r="G34" s="68"/>
      <c r="H34" s="68"/>
      <c r="I34" s="68"/>
      <c r="J34" s="8"/>
    </row>
  </sheetData>
  <mergeCells count="6">
    <mergeCell ref="F2:H2"/>
    <mergeCell ref="B12:B13"/>
    <mergeCell ref="C12:C13"/>
    <mergeCell ref="E12:E13"/>
    <mergeCell ref="F12:F13"/>
    <mergeCell ref="G12:G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CallUserforms">
                <anchor moveWithCells="1" sizeWithCells="1">
                  <from>
                    <xdr:col>0</xdr:col>
                    <xdr:colOff>185738</xdr:colOff>
                    <xdr:row>1</xdr:row>
                    <xdr:rowOff>19050</xdr:rowOff>
                  </from>
                  <to>
                    <xdr:col>1</xdr:col>
                    <xdr:colOff>1119188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51C0E-789E-4550-B7A5-BB1A3844E98C}">
  <sheetPr codeName="Feuil3"/>
  <dimension ref="B2:B5"/>
  <sheetViews>
    <sheetView workbookViewId="0">
      <selection activeCell="B3" sqref="B3:B5"/>
    </sheetView>
  </sheetViews>
  <sheetFormatPr baseColWidth="10" defaultRowHeight="14.25" x14ac:dyDescent="0.45"/>
  <sheetData>
    <row r="2" spans="2:2" x14ac:dyDescent="0.45">
      <c r="B2" t="s">
        <v>67</v>
      </c>
    </row>
    <row r="3" spans="2:2" x14ac:dyDescent="0.45">
      <c r="B3" t="s">
        <v>6</v>
      </c>
    </row>
    <row r="4" spans="2:2" x14ac:dyDescent="0.45">
      <c r="B4" t="s">
        <v>63</v>
      </c>
    </row>
    <row r="5" spans="2:2" x14ac:dyDescent="0.45">
      <c r="B5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L23"/>
  <sheetViews>
    <sheetView topLeftCell="A4" workbookViewId="0">
      <selection activeCell="K15" sqref="K15"/>
    </sheetView>
  </sheetViews>
  <sheetFormatPr baseColWidth="10" defaultColWidth="9.1328125" defaultRowHeight="14.25" x14ac:dyDescent="0.45"/>
  <cols>
    <col min="1" max="1" width="9.1328125" style="1"/>
    <col min="2" max="2" width="26.1328125" style="1" customWidth="1"/>
    <col min="3" max="3" width="12" style="1" customWidth="1"/>
    <col min="4" max="4" width="13.73046875" style="1" customWidth="1"/>
    <col min="5" max="5" width="11" style="1" bestFit="1" customWidth="1"/>
    <col min="6" max="6" width="15.1328125" style="1" customWidth="1"/>
    <col min="7" max="7" width="13.59765625" style="1" customWidth="1"/>
    <col min="8" max="9" width="11.59765625" style="1" bestFit="1" customWidth="1"/>
    <col min="10" max="10" width="29.3984375" style="1" customWidth="1"/>
    <col min="11" max="11" width="11.59765625" style="1" bestFit="1" customWidth="1"/>
    <col min="12" max="16384" width="9.1328125" style="1"/>
  </cols>
  <sheetData>
    <row r="1" spans="2:12" ht="14.65" thickBot="1" x14ac:dyDescent="0.5"/>
    <row r="2" spans="2:12" ht="14.65" thickBot="1" x14ac:dyDescent="0.5">
      <c r="B2" s="82" t="s">
        <v>3</v>
      </c>
      <c r="C2" s="83"/>
      <c r="D2" s="84"/>
    </row>
    <row r="3" spans="2:12" ht="28.9" thickBot="1" x14ac:dyDescent="0.5">
      <c r="B3" s="35" t="s">
        <v>10</v>
      </c>
      <c r="C3" s="85">
        <v>46</v>
      </c>
      <c r="D3" s="86"/>
      <c r="E3" s="15" t="s">
        <v>7</v>
      </c>
      <c r="F3" s="16" t="s">
        <v>9</v>
      </c>
      <c r="G3" s="17" t="s">
        <v>8</v>
      </c>
    </row>
    <row r="4" spans="2:12" x14ac:dyDescent="0.45">
      <c r="B4" s="41" t="s">
        <v>4</v>
      </c>
      <c r="C4" s="42">
        <f>3*2205</f>
        <v>6615</v>
      </c>
      <c r="D4" s="43" t="s">
        <v>5</v>
      </c>
      <c r="E4" s="22">
        <v>0.12</v>
      </c>
      <c r="F4" s="18">
        <f>C4*E4</f>
        <v>793.8</v>
      </c>
      <c r="G4" s="19">
        <f>F4*C3</f>
        <v>36514.799999999996</v>
      </c>
    </row>
    <row r="5" spans="2:12" x14ac:dyDescent="0.45">
      <c r="B5" s="10" t="s">
        <v>39</v>
      </c>
      <c r="C5" s="9">
        <f>1327/3</f>
        <v>442.33333333333331</v>
      </c>
      <c r="D5" s="11" t="s">
        <v>5</v>
      </c>
      <c r="E5" s="23">
        <v>0.15</v>
      </c>
      <c r="F5" s="20">
        <f t="shared" ref="F5:F6" si="0">C5*E5</f>
        <v>66.349999999999994</v>
      </c>
      <c r="G5" s="19">
        <f>F5*C3</f>
        <v>3052.1</v>
      </c>
    </row>
    <row r="6" spans="2:12" ht="14.65" thickBot="1" x14ac:dyDescent="0.5">
      <c r="B6" s="37" t="s">
        <v>6</v>
      </c>
      <c r="C6" s="38" t="e">
        <f>Sheet1!F12*2.3</f>
        <v>#VALUE!</v>
      </c>
      <c r="D6" s="14" t="s">
        <v>5</v>
      </c>
      <c r="E6" s="24">
        <v>2</v>
      </c>
      <c r="F6" s="21" t="e">
        <f t="shared" si="0"/>
        <v>#VALUE!</v>
      </c>
      <c r="G6" s="19" t="e">
        <f>F6*C3</f>
        <v>#VALUE!</v>
      </c>
    </row>
    <row r="7" spans="2:12" ht="14.65" thickBot="1" x14ac:dyDescent="0.5">
      <c r="B7" s="37" t="s">
        <v>42</v>
      </c>
      <c r="C7" s="38"/>
      <c r="D7" s="14" t="s">
        <v>5</v>
      </c>
      <c r="E7" s="60"/>
      <c r="F7" s="61"/>
      <c r="G7" s="62"/>
    </row>
    <row r="8" spans="2:12" ht="28.9" thickBot="1" x14ac:dyDescent="0.5">
      <c r="B8" s="37" t="s">
        <v>43</v>
      </c>
      <c r="C8" s="38"/>
      <c r="D8" s="14" t="s">
        <v>5</v>
      </c>
      <c r="E8" s="60"/>
      <c r="F8" s="61"/>
      <c r="G8" s="62"/>
    </row>
    <row r="9" spans="2:12" ht="14.65" thickBot="1" x14ac:dyDescent="0.5">
      <c r="B9" s="12" t="s">
        <v>15</v>
      </c>
      <c r="C9" s="13" t="e">
        <f>SUM(C4:C6)</f>
        <v>#VALUE!</v>
      </c>
      <c r="D9" s="14" t="s">
        <v>5</v>
      </c>
      <c r="E9" s="25"/>
      <c r="F9" s="30" t="e">
        <f>SUM(F4:F6)</f>
        <v>#VALUE!</v>
      </c>
      <c r="G9" s="33" t="e">
        <f>SUM(G4:G6)</f>
        <v>#VALUE!</v>
      </c>
    </row>
    <row r="10" spans="2:12" ht="28.9" thickBot="1" x14ac:dyDescent="0.5">
      <c r="C10" s="39" t="s">
        <v>12</v>
      </c>
      <c r="D10" s="40" t="s">
        <v>13</v>
      </c>
      <c r="E10" s="29"/>
      <c r="F10" s="31" t="s">
        <v>14</v>
      </c>
      <c r="G10" s="32" t="e">
        <f>G9+E11</f>
        <v>#VALUE!</v>
      </c>
    </row>
    <row r="11" spans="2:12" ht="14.65" thickBot="1" x14ac:dyDescent="0.5">
      <c r="B11" s="26" t="s">
        <v>11</v>
      </c>
      <c r="C11" s="27">
        <f>46/3</f>
        <v>15.333333333333334</v>
      </c>
      <c r="D11" s="28">
        <v>690</v>
      </c>
      <c r="E11" s="34">
        <f>D11*C11</f>
        <v>10580</v>
      </c>
      <c r="K11" s="1" t="s">
        <v>30</v>
      </c>
      <c r="L11" s="1" t="s">
        <v>2</v>
      </c>
    </row>
    <row r="12" spans="2:12" x14ac:dyDescent="0.45">
      <c r="K12" s="1">
        <v>1</v>
      </c>
      <c r="L12" s="1">
        <v>2204.62</v>
      </c>
    </row>
    <row r="13" spans="2:12" ht="57" x14ac:dyDescent="0.45">
      <c r="B13" s="1" t="s">
        <v>16</v>
      </c>
      <c r="C13" s="36" t="e">
        <f>C9/2204.6</f>
        <v>#VALUE!</v>
      </c>
      <c r="D13" s="1" t="s">
        <v>40</v>
      </c>
    </row>
    <row r="14" spans="2:12" ht="28.9" thickBot="1" x14ac:dyDescent="0.5">
      <c r="B14" s="1" t="s">
        <v>18</v>
      </c>
      <c r="C14" s="36" t="e">
        <f>C13*46</f>
        <v>#VALUE!</v>
      </c>
      <c r="D14" s="48" t="e">
        <f>C14*35</f>
        <v>#VALUE!</v>
      </c>
      <c r="J14" s="1" t="s">
        <v>28</v>
      </c>
      <c r="K14" s="48">
        <v>450</v>
      </c>
      <c r="L14" s="1" t="s">
        <v>29</v>
      </c>
    </row>
    <row r="15" spans="2:12" ht="28.9" thickBot="1" x14ac:dyDescent="0.5">
      <c r="B15" s="1" t="s">
        <v>19</v>
      </c>
      <c r="C15" s="44" t="e">
        <f>C14/'[1]2019 Actual'!$AI$7</f>
        <v>#VALUE!</v>
      </c>
      <c r="F15" s="26"/>
      <c r="G15" s="53" t="s">
        <v>41</v>
      </c>
      <c r="H15" s="54" t="s">
        <v>26</v>
      </c>
      <c r="I15" s="1" t="s">
        <v>32</v>
      </c>
      <c r="K15" s="48">
        <f>K14/L12</f>
        <v>0.20411680924603787</v>
      </c>
      <c r="L15" s="1" t="s">
        <v>31</v>
      </c>
    </row>
    <row r="16" spans="2:12" ht="28.9" thickBot="1" x14ac:dyDescent="0.5">
      <c r="B16" s="1" t="s">
        <v>20</v>
      </c>
      <c r="C16" s="45" t="e">
        <f>G10/C14</f>
        <v>#VALUE!</v>
      </c>
      <c r="F16" s="52" t="s">
        <v>27</v>
      </c>
      <c r="G16" s="51" t="e">
        <f>(((C4*E4+C5*E5))*C3+C11*D11)+D14</f>
        <v>#VALUE!</v>
      </c>
      <c r="H16" s="56">
        <f>(C4+C5)*46*K15</f>
        <v>66263.936642142406</v>
      </c>
      <c r="I16" s="55" t="e">
        <f>(H16-G16)/G16</f>
        <v>#VALUE!</v>
      </c>
    </row>
    <row r="17" spans="2:8" x14ac:dyDescent="0.45">
      <c r="C17" s="45"/>
    </row>
    <row r="18" spans="2:8" ht="28.5" x14ac:dyDescent="0.45">
      <c r="B18" s="1" t="s">
        <v>21</v>
      </c>
      <c r="C18" s="45" t="s">
        <v>22</v>
      </c>
      <c r="F18" s="1" t="s">
        <v>33</v>
      </c>
      <c r="G18" s="36">
        <f>((C4+C5)*46)/L12</f>
        <v>147.25319253809425</v>
      </c>
    </row>
    <row r="19" spans="2:8" x14ac:dyDescent="0.45">
      <c r="B19" s="1" t="s">
        <v>24</v>
      </c>
      <c r="C19" s="46">
        <f>11.48*0.05</f>
        <v>0.57400000000000007</v>
      </c>
      <c r="F19" s="49" t="s">
        <v>34</v>
      </c>
      <c r="G19" s="50">
        <f>G18*C23</f>
        <v>16414.16668523525</v>
      </c>
    </row>
    <row r="20" spans="2:8" x14ac:dyDescent="0.45">
      <c r="B20" s="1" t="s">
        <v>23</v>
      </c>
      <c r="C20" s="36">
        <f>11.48-C19</f>
        <v>10.906000000000001</v>
      </c>
      <c r="G20" s="1" t="s">
        <v>25</v>
      </c>
      <c r="H20" s="1" t="s">
        <v>36</v>
      </c>
    </row>
    <row r="21" spans="2:8" ht="28.5" x14ac:dyDescent="0.45">
      <c r="C21" s="46"/>
      <c r="F21" s="1" t="s">
        <v>35</v>
      </c>
      <c r="G21" s="47" t="e">
        <f>G16-G19</f>
        <v>#VALUE!</v>
      </c>
      <c r="H21" s="47">
        <f>H16-G19</f>
        <v>49849.769956907156</v>
      </c>
    </row>
    <row r="22" spans="2:8" x14ac:dyDescent="0.45">
      <c r="F22" s="55" t="s">
        <v>37</v>
      </c>
      <c r="G22" s="55" t="e">
        <f>(G16-G19)/G19</f>
        <v>#VALUE!</v>
      </c>
      <c r="H22" s="55">
        <f>(H16-G19)/G19</f>
        <v>3.0369966939441193</v>
      </c>
    </row>
    <row r="23" spans="2:8" x14ac:dyDescent="0.45">
      <c r="B23" s="1" t="s">
        <v>17</v>
      </c>
      <c r="C23" s="45">
        <f>'[1]2020 Actual'!$C$51</f>
        <v>111.46900384512153</v>
      </c>
    </row>
  </sheetData>
  <mergeCells count="2">
    <mergeCell ref="B2:D2"/>
    <mergeCell ref="C3:D3"/>
  </mergeCells>
  <pageMargins left="0.7" right="0.7" top="0.75" bottom="0.75" header="0.3" footer="0.3"/>
  <pageSetup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Sheet1</vt:lpstr>
      <vt:lpstr>Data</vt:lpstr>
      <vt:lpstr>Coûts  With QC facility</vt:lpstr>
      <vt:lpstr>Type</vt:lpstr>
    </vt:vector>
  </TitlesOfParts>
  <Company>KHC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Dorothée, THERRIEN</dc:creator>
  <cp:lastModifiedBy>Dorothée Therrien</cp:lastModifiedBy>
  <dcterms:created xsi:type="dcterms:W3CDTF">2021-05-20T17:49:41Z</dcterms:created>
  <dcterms:modified xsi:type="dcterms:W3CDTF">2021-12-22T22:53:00Z</dcterms:modified>
</cp:coreProperties>
</file>